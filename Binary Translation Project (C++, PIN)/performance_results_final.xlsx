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Programming\460275_Binary_translation\final_project\"/>
    </mc:Choice>
  </mc:AlternateContent>
  <xr:revisionPtr revIDLastSave="0" documentId="13_ncr:1_{095E8811-83AE-41E9-9B71-26B334A51B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3" i="1"/>
  <c r="H2" i="1"/>
  <c r="G7" i="1"/>
  <c r="G6" i="1"/>
  <c r="G5" i="1"/>
  <c r="G2" i="1"/>
  <c r="G3" i="1"/>
  <c r="G4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G90" i="1" s="1"/>
  <c r="F80" i="1"/>
  <c r="F90" i="1" s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F29" i="1"/>
  <c r="F2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G28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G51" i="1" s="1"/>
  <c r="F41" i="1"/>
  <c r="F51" i="1" s="1"/>
  <c r="G25" i="1"/>
  <c r="G15" i="1"/>
  <c r="G16" i="1"/>
  <c r="G17" i="1"/>
  <c r="G18" i="1"/>
  <c r="G19" i="1"/>
  <c r="G20" i="1"/>
  <c r="G21" i="1"/>
  <c r="G22" i="1"/>
  <c r="G23" i="1"/>
  <c r="G24" i="1"/>
  <c r="F25" i="1"/>
  <c r="F15" i="1"/>
  <c r="F16" i="1"/>
  <c r="F17" i="1"/>
  <c r="F18" i="1"/>
  <c r="F19" i="1"/>
  <c r="F20" i="1"/>
  <c r="F21" i="1"/>
  <c r="F22" i="1"/>
  <c r="F23" i="1"/>
  <c r="F24" i="1"/>
  <c r="E90" i="1"/>
  <c r="D90" i="1"/>
  <c r="C90" i="1"/>
  <c r="B90" i="1"/>
  <c r="E77" i="1"/>
  <c r="D77" i="1"/>
  <c r="C77" i="1"/>
  <c r="B77" i="1"/>
  <c r="E64" i="1"/>
  <c r="D64" i="1"/>
  <c r="C64" i="1"/>
  <c r="B64" i="1"/>
  <c r="E51" i="1"/>
  <c r="D51" i="1"/>
  <c r="C51" i="1"/>
  <c r="B51" i="1"/>
  <c r="E38" i="1"/>
  <c r="D38" i="1"/>
  <c r="C38" i="1"/>
  <c r="B38" i="1"/>
  <c r="E25" i="1"/>
  <c r="D25" i="1"/>
  <c r="C25" i="1"/>
  <c r="B25" i="1"/>
  <c r="D12" i="1"/>
  <c r="C12" i="1"/>
  <c r="B12" i="1"/>
  <c r="F64" i="1" l="1"/>
  <c r="G64" i="1"/>
  <c r="F38" i="1"/>
  <c r="G38" i="1"/>
  <c r="F77" i="1"/>
  <c r="G77" i="1"/>
</calcChain>
</file>

<file path=xl/sharedStrings.xml><?xml version="1.0" encoding="utf-8"?>
<sst xmlns="http://schemas.openxmlformats.org/spreadsheetml/2006/main" count="62" uniqueCount="40">
  <si>
    <t>avg</t>
  </si>
  <si>
    <t>pin run prof time 1 real</t>
  </si>
  <si>
    <t>pin run prof time 1 user</t>
  </si>
  <si>
    <t>pin run prof time 1 sys</t>
  </si>
  <si>
    <t>pin run prof time 1 create tc</t>
  </si>
  <si>
    <t>pin run prof time 2 real</t>
  </si>
  <si>
    <t>pin run prof time 2 user</t>
  </si>
  <si>
    <t>pin run prof time 2 sys</t>
  </si>
  <si>
    <t>pin run prof time 2 create tc</t>
  </si>
  <si>
    <t>pin run prof time 3 real</t>
  </si>
  <si>
    <t>pin run prof time 3 user</t>
  </si>
  <si>
    <t>pin run prof time 3 sys</t>
  </si>
  <si>
    <t>pin run prof time 3 create tc</t>
  </si>
  <si>
    <t>pin run prof time 4 real</t>
  </si>
  <si>
    <t>pin run prof time 4 user</t>
  </si>
  <si>
    <t>pin run prof time 4 sys</t>
  </si>
  <si>
    <t>pin run prof time 4 create tc</t>
  </si>
  <si>
    <t>pin run prof time 5 real</t>
  </si>
  <si>
    <t>pin run prof time 5 user</t>
  </si>
  <si>
    <t>pin run prof time 5 sys</t>
  </si>
  <si>
    <t>pin run prof time 5 create tc</t>
  </si>
  <si>
    <t>pin run prof time 6 real</t>
  </si>
  <si>
    <t>pin run prof time 6 user</t>
  </si>
  <si>
    <t>pin run prof time 6 sys</t>
  </si>
  <si>
    <t>pin run prof time 6 create tc</t>
  </si>
  <si>
    <t>run #</t>
  </si>
  <si>
    <t>Normal run real time</t>
  </si>
  <si>
    <t>Normal run user time</t>
  </si>
  <si>
    <t>Normal run system time</t>
  </si>
  <si>
    <t>Run type</t>
  </si>
  <si>
    <t>prof_time 1</t>
  </si>
  <si>
    <t>prof_time 2</t>
  </si>
  <si>
    <t>prof_time 3</t>
  </si>
  <si>
    <t>prof_time 4</t>
  </si>
  <si>
    <t>prof_time 5</t>
  </si>
  <si>
    <t>prof_time 6</t>
  </si>
  <si>
    <t>Real time Overhead precent</t>
  </si>
  <si>
    <t>User time Overhead precent</t>
  </si>
  <si>
    <t>real - create tc</t>
  </si>
  <si>
    <t>user - create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</si>
</sst>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7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Real</a:t>
            </a:r>
            <a:r>
              <a:rPr lang="en-GB" baseline="0"/>
              <a:t> Run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Normal Run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Sheet1!$B$2:$B$11</c:f>
              <c:numCache>
                <c:formatCode>General</c:formatCode>
                <c:ptCount val="10"/>
                <c:pt idx="0">
                  <c:v>12.06</c:v>
                </c:pt>
                <c:pt idx="1">
                  <c:v>12.19</c:v>
                </c:pt>
                <c:pt idx="2">
                  <c:v>12.1</c:v>
                </c:pt>
                <c:pt idx="3">
                  <c:v>11.81</c:v>
                </c:pt>
                <c:pt idx="4">
                  <c:v>12.38</c:v>
                </c:pt>
                <c:pt idx="5">
                  <c:v>11.97</c:v>
                </c:pt>
                <c:pt idx="6">
                  <c:v>12.38</c:v>
                </c:pt>
                <c:pt idx="7">
                  <c:v>12.05</c:v>
                </c:pt>
                <c:pt idx="8">
                  <c:v>12.11</c:v>
                </c:pt>
                <c:pt idx="9">
                  <c:v>12.26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3-4823-9E11-B651E65B9611}"/>
            </c:ext>
          </c:extLst>
        </c:ser>
        <c:ser>
          <c:idx val="1"/>
          <c:order val="1"/>
          <c:tx>
            <c:v>Prof Time 1 Real - TC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Sheet1!$F$15:$F$24</c:f>
              <c:numCache>
                <c:formatCode>General</c:formatCode>
                <c:ptCount val="10"/>
                <c:pt idx="0">
                  <c:v>13.470000000000002</c:v>
                </c:pt>
                <c:pt idx="1">
                  <c:v>13.719999999999999</c:v>
                </c:pt>
                <c:pt idx="2">
                  <c:v>13.16</c:v>
                </c:pt>
                <c:pt idx="3">
                  <c:v>13.16</c:v>
                </c:pt>
                <c:pt idx="4">
                  <c:v>13.579999999999998</c:v>
                </c:pt>
                <c:pt idx="5">
                  <c:v>12.809999999999999</c:v>
                </c:pt>
                <c:pt idx="6">
                  <c:v>13.44</c:v>
                </c:pt>
                <c:pt idx="7">
                  <c:v>13.469999999999999</c:v>
                </c:pt>
                <c:pt idx="8">
                  <c:v>12.98</c:v>
                </c:pt>
                <c:pt idx="9">
                  <c:v>13.829999999999998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3-4823-9E11-B651E65B9611}"/>
            </c:ext>
          </c:extLst>
        </c:ser>
        <c:ser>
          <c:idx val="2"/>
          <c:order val="2"/>
          <c:tx>
            <c:v>Prof Time 2 Real - TC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Sheet1!$F$28:$F$37</c:f>
              <c:numCache>
                <c:formatCode>General</c:formatCode>
                <c:ptCount val="10"/>
                <c:pt idx="0">
                  <c:v>13.66</c:v>
                </c:pt>
                <c:pt idx="1">
                  <c:v>13.91</c:v>
                </c:pt>
                <c:pt idx="2">
                  <c:v>13.69</c:v>
                </c:pt>
                <c:pt idx="3">
                  <c:v>14.28</c:v>
                </c:pt>
                <c:pt idx="4">
                  <c:v>13.690000000000001</c:v>
                </c:pt>
                <c:pt idx="5">
                  <c:v>14.14</c:v>
                </c:pt>
                <c:pt idx="6">
                  <c:v>13.709999999999999</c:v>
                </c:pt>
                <c:pt idx="7">
                  <c:v>14.09</c:v>
                </c:pt>
                <c:pt idx="8">
                  <c:v>13.87</c:v>
                </c:pt>
                <c:pt idx="9">
                  <c:v>13.860000000000001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D3-4823-9E11-B651E65B9611}"/>
            </c:ext>
          </c:extLst>
        </c:ser>
        <c:ser>
          <c:idx val="3"/>
          <c:order val="3"/>
          <c:tx>
            <c:v>Prof Time 3 Real - TC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Sheet1!$F$41:$F$50</c:f>
              <c:numCache>
                <c:formatCode>General</c:formatCode>
                <c:ptCount val="10"/>
                <c:pt idx="0">
                  <c:v>14.7</c:v>
                </c:pt>
                <c:pt idx="1">
                  <c:v>14.470000000000002</c:v>
                </c:pt>
                <c:pt idx="2">
                  <c:v>14.469999999999999</c:v>
                </c:pt>
                <c:pt idx="3">
                  <c:v>14.36</c:v>
                </c:pt>
                <c:pt idx="4">
                  <c:v>14.459999999999999</c:v>
                </c:pt>
                <c:pt idx="5">
                  <c:v>14.46</c:v>
                </c:pt>
                <c:pt idx="6">
                  <c:v>14.540000000000003</c:v>
                </c:pt>
                <c:pt idx="7">
                  <c:v>14.54</c:v>
                </c:pt>
                <c:pt idx="8">
                  <c:v>14.4</c:v>
                </c:pt>
                <c:pt idx="9">
                  <c:v>14.459999999999999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D3-4823-9E11-B651E65B9611}"/>
            </c:ext>
          </c:extLst>
        </c:ser>
        <c:ser>
          <c:idx val="4"/>
          <c:order val="4"/>
          <c:tx>
            <c:v>Prof Time 4 Real - TC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Sheet1!$F$54:$F$63</c:f>
              <c:numCache>
                <c:formatCode>General</c:formatCode>
                <c:ptCount val="10"/>
                <c:pt idx="0">
                  <c:v>14.869999999999997</c:v>
                </c:pt>
                <c:pt idx="1">
                  <c:v>14.780000000000001</c:v>
                </c:pt>
                <c:pt idx="2">
                  <c:v>15.239999999999998</c:v>
                </c:pt>
                <c:pt idx="3">
                  <c:v>14.799999999999999</c:v>
                </c:pt>
                <c:pt idx="4">
                  <c:v>14.53</c:v>
                </c:pt>
                <c:pt idx="5">
                  <c:v>15.23</c:v>
                </c:pt>
                <c:pt idx="6">
                  <c:v>14.49</c:v>
                </c:pt>
                <c:pt idx="7">
                  <c:v>14.940000000000001</c:v>
                </c:pt>
                <c:pt idx="8">
                  <c:v>14.810000000000002</c:v>
                </c:pt>
                <c:pt idx="9">
                  <c:v>14.919999999999998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D3-4823-9E11-B651E65B9611}"/>
            </c:ext>
          </c:extLst>
        </c:ser>
        <c:ser>
          <c:idx val="5"/>
          <c:order val="5"/>
          <c:tx>
            <c:v>Prof Time 5 Real - TC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Sheet1!$F$67:$F$76</c:f>
              <c:numCache>
                <c:formatCode>General</c:formatCode>
                <c:ptCount val="10"/>
                <c:pt idx="0">
                  <c:v>15.2</c:v>
                </c:pt>
                <c:pt idx="1">
                  <c:v>15.56</c:v>
                </c:pt>
                <c:pt idx="2">
                  <c:v>15.860000000000001</c:v>
                </c:pt>
                <c:pt idx="3">
                  <c:v>15.57</c:v>
                </c:pt>
                <c:pt idx="4">
                  <c:v>15.530000000000001</c:v>
                </c:pt>
                <c:pt idx="5">
                  <c:v>15.470000000000002</c:v>
                </c:pt>
                <c:pt idx="6">
                  <c:v>14.920000000000002</c:v>
                </c:pt>
                <c:pt idx="7">
                  <c:v>15.469999999999999</c:v>
                </c:pt>
                <c:pt idx="8">
                  <c:v>15.23</c:v>
                </c:pt>
                <c:pt idx="9">
                  <c:v>15.030000000000001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D3-4823-9E11-B651E65B9611}"/>
            </c:ext>
          </c:extLst>
        </c:ser>
        <c:ser>
          <c:idx val="6"/>
          <c:order val="6"/>
          <c:tx>
            <c:v>Prof Time 6 Real - TC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Sheet1!$F$80:$F$89</c:f>
              <c:numCache>
                <c:formatCode>General</c:formatCode>
                <c:ptCount val="10"/>
                <c:pt idx="0">
                  <c:v>15.730000000000002</c:v>
                </c:pt>
                <c:pt idx="1">
                  <c:v>15.97</c:v>
                </c:pt>
                <c:pt idx="2">
                  <c:v>16</c:v>
                </c:pt>
                <c:pt idx="3">
                  <c:v>15.44</c:v>
                </c:pt>
                <c:pt idx="4">
                  <c:v>16.09</c:v>
                </c:pt>
                <c:pt idx="5">
                  <c:v>15.510000000000002</c:v>
                </c:pt>
                <c:pt idx="6">
                  <c:v>15.790000000000001</c:v>
                </c:pt>
                <c:pt idx="7">
                  <c:v>15.99</c:v>
                </c:pt>
                <c:pt idx="8">
                  <c:v>15.620000000000001</c:v>
                </c:pt>
                <c:pt idx="9">
                  <c:v>15.71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D3-4823-9E11-B651E65B9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678895"/>
        <c:axId val="1851679375"/>
      </c:lineChart>
      <c:catAx>
        <c:axId val="1851678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Run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679375"/>
        <c:crosses val="autoZero"/>
        <c:auto val="1"/>
        <c:lblAlgn val="ctr"/>
        <c:lblOffset val="100"/>
        <c:noMultiLvlLbl val="0"/>
      </c:catAx>
      <c:valAx>
        <c:axId val="185167937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6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User Run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Normal Run User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10.32</c:v>
                </c:pt>
                <c:pt idx="1">
                  <c:v>10.199999999999999</c:v>
                </c:pt>
                <c:pt idx="2">
                  <c:v>10.46</c:v>
                </c:pt>
                <c:pt idx="3">
                  <c:v>9.89</c:v>
                </c:pt>
                <c:pt idx="4">
                  <c:v>10.36</c:v>
                </c:pt>
                <c:pt idx="5">
                  <c:v>9.89</c:v>
                </c:pt>
                <c:pt idx="6">
                  <c:v>9.52</c:v>
                </c:pt>
                <c:pt idx="7">
                  <c:v>11.21</c:v>
                </c:pt>
                <c:pt idx="8">
                  <c:v>10.32</c:v>
                </c:pt>
                <c:pt idx="9">
                  <c:v>10.28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03E-9F78-316F165256FF}"/>
            </c:ext>
          </c:extLst>
        </c:ser>
        <c:ser>
          <c:idx val="1"/>
          <c:order val="1"/>
          <c:tx>
            <c:v>Prof Time 1 User - TC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Sheet1!$G$15:$G$24</c:f>
              <c:numCache>
                <c:formatCode>General</c:formatCode>
                <c:ptCount val="10"/>
                <c:pt idx="0">
                  <c:v>10.45</c:v>
                </c:pt>
                <c:pt idx="1">
                  <c:v>12.510000000000002</c:v>
                </c:pt>
                <c:pt idx="2">
                  <c:v>11.370000000000001</c:v>
                </c:pt>
                <c:pt idx="3">
                  <c:v>11.14</c:v>
                </c:pt>
                <c:pt idx="4">
                  <c:v>13.219999999999999</c:v>
                </c:pt>
                <c:pt idx="5">
                  <c:v>11.04</c:v>
                </c:pt>
                <c:pt idx="6">
                  <c:v>10.44</c:v>
                </c:pt>
                <c:pt idx="7">
                  <c:v>11.82</c:v>
                </c:pt>
                <c:pt idx="8">
                  <c:v>10.08</c:v>
                </c:pt>
                <c:pt idx="9">
                  <c:v>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03E-9F78-316F165256FF}"/>
            </c:ext>
          </c:extLst>
        </c:ser>
        <c:ser>
          <c:idx val="2"/>
          <c:order val="2"/>
          <c:tx>
            <c:v>Prof Time 2 User - TC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Sheet1!$G$28:$G$37</c:f>
              <c:numCache>
                <c:formatCode>General</c:formatCode>
                <c:ptCount val="10"/>
                <c:pt idx="0">
                  <c:v>11.41</c:v>
                </c:pt>
                <c:pt idx="1">
                  <c:v>10.89</c:v>
                </c:pt>
                <c:pt idx="2">
                  <c:v>10.9</c:v>
                </c:pt>
                <c:pt idx="3">
                  <c:v>13.930000000000001</c:v>
                </c:pt>
                <c:pt idx="4">
                  <c:v>12.86</c:v>
                </c:pt>
                <c:pt idx="5">
                  <c:v>11.3</c:v>
                </c:pt>
                <c:pt idx="6">
                  <c:v>11.629999999999999</c:v>
                </c:pt>
                <c:pt idx="7">
                  <c:v>12.239999999999998</c:v>
                </c:pt>
                <c:pt idx="8">
                  <c:v>11.89</c:v>
                </c:pt>
                <c:pt idx="9">
                  <c:v>13.58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2F-403E-9F78-316F165256FF}"/>
            </c:ext>
          </c:extLst>
        </c:ser>
        <c:ser>
          <c:idx val="3"/>
          <c:order val="3"/>
          <c:tx>
            <c:v>Prof Time 3 User - TC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Sheet1!$G$41:$G$50</c:f>
              <c:numCache>
                <c:formatCode>General</c:formatCode>
                <c:ptCount val="10"/>
                <c:pt idx="0">
                  <c:v>14.2</c:v>
                </c:pt>
                <c:pt idx="1">
                  <c:v>12.649999999999999</c:v>
                </c:pt>
                <c:pt idx="2">
                  <c:v>9.61</c:v>
                </c:pt>
                <c:pt idx="3">
                  <c:v>14</c:v>
                </c:pt>
                <c:pt idx="4">
                  <c:v>12.39</c:v>
                </c:pt>
                <c:pt idx="5">
                  <c:v>10.559999999999999</c:v>
                </c:pt>
                <c:pt idx="6">
                  <c:v>14.490000000000002</c:v>
                </c:pt>
                <c:pt idx="7">
                  <c:v>14.060000000000002</c:v>
                </c:pt>
                <c:pt idx="8">
                  <c:v>13.950000000000001</c:v>
                </c:pt>
                <c:pt idx="9">
                  <c:v>14.17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2F-403E-9F78-316F165256FF}"/>
            </c:ext>
          </c:extLst>
        </c:ser>
        <c:ser>
          <c:idx val="4"/>
          <c:order val="4"/>
          <c:tx>
            <c:v>Prof Time 4 User - TC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Sheet1!$G$54:$G$63</c:f>
              <c:numCache>
                <c:formatCode>General</c:formatCode>
                <c:ptCount val="10"/>
                <c:pt idx="0">
                  <c:v>14.009999999999998</c:v>
                </c:pt>
                <c:pt idx="1">
                  <c:v>13.04</c:v>
                </c:pt>
                <c:pt idx="2">
                  <c:v>14.41</c:v>
                </c:pt>
                <c:pt idx="3">
                  <c:v>11.99</c:v>
                </c:pt>
                <c:pt idx="4">
                  <c:v>12.28</c:v>
                </c:pt>
                <c:pt idx="5">
                  <c:v>10.14</c:v>
                </c:pt>
                <c:pt idx="6">
                  <c:v>12.51</c:v>
                </c:pt>
                <c:pt idx="7">
                  <c:v>13.23</c:v>
                </c:pt>
                <c:pt idx="8">
                  <c:v>13.100000000000001</c:v>
                </c:pt>
                <c:pt idx="9">
                  <c:v>13.07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2F-403E-9F78-316F165256FF}"/>
            </c:ext>
          </c:extLst>
        </c:ser>
        <c:ser>
          <c:idx val="5"/>
          <c:order val="5"/>
          <c:tx>
            <c:v>Prof Time 5 User - TC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Sheet1!$G$67:$G$76</c:f>
              <c:numCache>
                <c:formatCode>General</c:formatCode>
                <c:ptCount val="10"/>
                <c:pt idx="0">
                  <c:v>13.120000000000001</c:v>
                </c:pt>
                <c:pt idx="1">
                  <c:v>13.4</c:v>
                </c:pt>
                <c:pt idx="2">
                  <c:v>12.75</c:v>
                </c:pt>
                <c:pt idx="3">
                  <c:v>14.07</c:v>
                </c:pt>
                <c:pt idx="4">
                  <c:v>13.309999999999999</c:v>
                </c:pt>
                <c:pt idx="5">
                  <c:v>15.16</c:v>
                </c:pt>
                <c:pt idx="6">
                  <c:v>14.120000000000001</c:v>
                </c:pt>
                <c:pt idx="7">
                  <c:v>13.61</c:v>
                </c:pt>
                <c:pt idx="8">
                  <c:v>14.399999999999999</c:v>
                </c:pt>
                <c:pt idx="9">
                  <c:v>14.629999999999999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2F-403E-9F78-316F165256FF}"/>
            </c:ext>
          </c:extLst>
        </c:ser>
        <c:ser>
          <c:idx val="6"/>
          <c:order val="6"/>
          <c:tx>
            <c:v>Prof Time 6 User - TC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Sheet1!$G$80:$G$89</c:f>
              <c:numCache>
                <c:formatCode>General</c:formatCode>
                <c:ptCount val="10"/>
                <c:pt idx="0">
                  <c:v>12.88</c:v>
                </c:pt>
                <c:pt idx="1">
                  <c:v>13.959999999999999</c:v>
                </c:pt>
                <c:pt idx="2">
                  <c:v>11.94</c:v>
                </c:pt>
                <c:pt idx="3">
                  <c:v>12.929999999999998</c:v>
                </c:pt>
                <c:pt idx="4">
                  <c:v>15.73</c:v>
                </c:pt>
                <c:pt idx="5">
                  <c:v>12.129999999999999</c:v>
                </c:pt>
                <c:pt idx="6">
                  <c:v>13.139999999999999</c:v>
                </c:pt>
                <c:pt idx="7">
                  <c:v>13.19</c:v>
                </c:pt>
                <c:pt idx="8">
                  <c:v>14.009999999999998</c:v>
                </c:pt>
                <c:pt idx="9">
                  <c:v>13.530000000000001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2F-403E-9F78-316F16525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678895"/>
        <c:axId val="1851679375"/>
      </c:lineChart>
      <c:catAx>
        <c:axId val="1851678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Run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679375"/>
        <c:crosses val="autoZero"/>
        <c:auto val="1"/>
        <c:lblAlgn val="ctr"/>
        <c:lblOffset val="100"/>
        <c:noMultiLvlLbl val="0"/>
      </c:catAx>
      <c:valAx>
        <c:axId val="1851679375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6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Real</a:t>
            </a:r>
            <a:r>
              <a:rPr lang="en-GB" baseline="0"/>
              <a:t> Time per prof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(Sheet1!$F$25,Sheet1!$F$38,Sheet1!$F$51,Sheet1!$F$64,Sheet1!$F$77,Sheet1!$F$90)</c:f>
              <c:numCache>
                <c:formatCode>General</c:formatCode>
                <c:ptCount val="6"/>
                <c:pt idx="0">
                  <c:v>13.362</c:v>
                </c:pt>
                <c:pt idx="1">
                  <c:v>13.89</c:v>
                </c:pt>
                <c:pt idx="2">
                  <c:v>14.486000000000001</c:v>
                </c:pt>
                <c:pt idx="3">
                  <c:v>14.860999999999999</c:v>
                </c:pt>
                <c:pt idx="4">
                  <c:v>15.384</c:v>
                </c:pt>
                <c:pt idx="5">
                  <c:v>15.785000000000002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1-4C79-BB1B-AA5E843C2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6256047"/>
        <c:axId val="1836255567"/>
      </c:lineChart>
      <c:catAx>
        <c:axId val="183625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prof_time</a:t>
                </a:r>
                <a:r>
                  <a:rPr lang="en-GB" baseline="0"/>
                  <a:t> (seconds)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55567"/>
        <c:crosses val="autoZero"/>
        <c:auto val="1"/>
        <c:lblAlgn val="ctr"/>
        <c:lblOffset val="100"/>
        <c:noMultiLvlLbl val="0"/>
      </c:catAx>
      <c:valAx>
        <c:axId val="183625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</a:t>
                </a:r>
                <a:r>
                  <a:rPr lang="en-GB" baseline="0"/>
                  <a:t> time (seconds)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25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1904998</xdr:colOff>
      <xdr:row>12</xdr:row>
      <xdr:rowOff>185735</xdr:rowOff>
    </xdr:from>
    <xdr:to>
      <xdr:col>15</xdr:col>
      <xdr:colOff>0</xdr:colOff>
      <xdr:row>46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6CAC6-5143-8A29-0738-8BD3E779C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1904999</xdr:colOff>
      <xdr:row>46</xdr:row>
      <xdr:rowOff>190499</xdr:rowOff>
    </xdr:from>
    <xdr:to>
      <xdr:col>15</xdr:col>
      <xdr:colOff>9524</xdr:colOff>
      <xdr:row>80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C3B71-4B29-4790-8A47-3976D7001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</xdr:colOff>
      <xdr:row>82</xdr:row>
      <xdr:rowOff>4762</xdr:rowOff>
    </xdr:from>
    <xdr:to>
      <xdr:col>14</xdr:col>
      <xdr:colOff>600075</xdr:colOff>
      <xdr:row>107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DF50D5-E352-861F-5EC2-AA85598B2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38D82-0878-4F77-A83E-F4522D818A73}" name="Table1" displayName="Table1" ref="A1:D12" totalsRowShown="0">
  <autoFilter ref="A1:D12" xr:uid="{C4538D82-0878-4F77-A83E-F4522D818A73}"/>
  <tableColumns count="4">
    <tableColumn id="1" xr3:uid="{E2011FE4-3720-4B31-A0A8-9ED4B2BE6D24}" name="run #" dataDxfId="73"/>
    <tableColumn id="2" xr3:uid="{B9D7F57E-9DE4-4AEA-8E61-E208EF0C71C8}" name="Normal run real time"/>
    <tableColumn id="3" xr3:uid="{A5EA604D-1A61-4E09-B60F-16623C724E62}" name="Normal run user time"/>
    <tableColumn id="4" xr3:uid="{16ACC2CE-6AFE-4297-855A-A6FC7FE7987D}" name="Normal run system time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59632-D4C8-4CE3-B6CC-02026C7F9C42}" name="Table2" displayName="Table2" ref="A14:G25" totalsRowShown="0" headerRowDxfId="72" dataDxfId="70" headerRowBorderDxfId="71" tableBorderDxfId="69" totalsRowBorderDxfId="68">
  <autoFilter ref="A14:G25" xr:uid="{2A859632-D4C8-4CE3-B6CC-02026C7F9C42}"/>
  <tableColumns count="7">
    <tableColumn id="1" xr3:uid="{C9FBBE30-666C-4DD7-8889-43BFAE9DB0DC}" name="run #" dataDxfId="67"/>
    <tableColumn id="2" xr3:uid="{631E6F78-CC57-41B1-80E5-2413BA945BC9}" name="pin run prof time 1 real" dataDxfId="66"/>
    <tableColumn id="3" xr3:uid="{EB6E8750-57BD-4A8C-B3A6-3D7DBEB5B04D}" name="pin run prof time 1 user" dataDxfId="65"/>
    <tableColumn id="4" xr3:uid="{941C1F0B-DA73-4434-9EF8-33B08F8D7A0C}" name="pin run prof time 1 sys" dataDxfId="64"/>
    <tableColumn id="5" xr3:uid="{71731C49-EFEC-42FB-85C8-9DC32E12B4DA}" name="pin run prof time 1 create tc" dataDxfId="63"/>
    <tableColumn id="6" xr3:uid="{6A206E28-D2C8-42FE-B1D6-51C37900766E}" name="real - create tc" dataDxfId="62">
      <calculatedColumnFormula>B15-E15</calculatedColumnFormula>
    </tableColumn>
    <tableColumn id="7" xr3:uid="{0F2C1644-D62F-4682-B1D8-921235967876}" name="user - create tc" dataDxfId="61">
      <calculatedColumnFormula>C15-E15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804CE8-6E8C-434A-B6C1-08965E0FF512}" name="Table25" displayName="Table25" ref="A27:G38" totalsRowShown="0" headerRowDxfId="60" dataDxfId="58" headerRowBorderDxfId="59" tableBorderDxfId="57" totalsRowBorderDxfId="56">
  <autoFilter ref="A27:G38" xr:uid="{EC804CE8-6E8C-434A-B6C1-08965E0FF512}"/>
  <tableColumns count="7">
    <tableColumn id="1" xr3:uid="{839B9C11-B14C-40EA-A609-594BBD11E651}" name="run #" dataDxfId="55"/>
    <tableColumn id="2" xr3:uid="{B6637BCE-01BB-4C87-9708-2CED11B835C9}" name="pin run prof time 2 real" dataDxfId="54"/>
    <tableColumn id="3" xr3:uid="{2935C943-3BA8-4FD3-B7BD-BD4199F6E881}" name="pin run prof time 2 user" dataDxfId="53"/>
    <tableColumn id="4" xr3:uid="{4E29E7E3-5536-410B-8CA1-93672012DF81}" name="pin run prof time 2 sys" dataDxfId="52"/>
    <tableColumn id="5" xr3:uid="{2900C302-3FB8-413C-9C01-F3B32921898A}" name="pin run prof time 2 create tc" dataDxfId="51"/>
    <tableColumn id="6" xr3:uid="{0210E235-AC99-4616-9E90-7B17F9B881B5}" name="real - create tc" dataDxfId="50"/>
    <tableColumn id="7" xr3:uid="{2222A28D-5E77-462E-8EA8-75262FE63EE9}" name="user - create tc" dataDxfId="49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C1CD9E-98FA-4162-B024-948E0304A4D5}" name="Table256" displayName="Table256" ref="A40:G51" totalsRowShown="0" headerRowDxfId="48" dataDxfId="46" headerRowBorderDxfId="47" tableBorderDxfId="45" totalsRowBorderDxfId="44">
  <autoFilter ref="A40:G51" xr:uid="{AEC1CD9E-98FA-4162-B024-948E0304A4D5}"/>
  <tableColumns count="7">
    <tableColumn id="1" xr3:uid="{EF72C7CA-71AE-4904-887A-C4D6E77428C7}" name="run #" dataDxfId="43"/>
    <tableColumn id="2" xr3:uid="{52FCEF17-24BB-4FD6-83B8-6F9F71504280}" name="pin run prof time 3 real" dataDxfId="42"/>
    <tableColumn id="3" xr3:uid="{C027FA30-51A0-4FF6-BBC0-3E27EBDEE037}" name="pin run prof time 3 user" dataDxfId="41"/>
    <tableColumn id="4" xr3:uid="{E28DD941-489C-49CB-B40C-D1944F14B3CD}" name="pin run prof time 3 sys" dataDxfId="40"/>
    <tableColumn id="5" xr3:uid="{667D5E9F-1BEC-4272-8C41-8288965082CD}" name="pin run prof time 3 create tc" dataDxfId="39"/>
    <tableColumn id="6" xr3:uid="{2B77C4CE-339D-422B-96C6-6CB239706408}" name="real - create tc" dataDxfId="38"/>
    <tableColumn id="7" xr3:uid="{5DF05770-7076-4965-B87F-7A16CDF064CC}" name="user - create tc" dataDxfId="37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6FAFF4-5979-4708-BDF4-1F5B548D1BF5}" name="Table257" displayName="Table257" ref="A53:G64" totalsRowShown="0" headerRowDxfId="36" dataDxfId="34" headerRowBorderDxfId="35" tableBorderDxfId="33" totalsRowBorderDxfId="32">
  <autoFilter ref="A53:G64" xr:uid="{1B6FAFF4-5979-4708-BDF4-1F5B548D1BF5}"/>
  <tableColumns count="7">
    <tableColumn id="1" xr3:uid="{454DE9BD-41B7-4557-973F-2DDEAA57946C}" name="run #" dataDxfId="31"/>
    <tableColumn id="2" xr3:uid="{30B105D4-F54A-46DC-8431-EB623ACF652A}" name="pin run prof time 4 real" dataDxfId="30"/>
    <tableColumn id="3" xr3:uid="{F1FC0EF7-F96E-42CB-9F59-06E37F875336}" name="pin run prof time 4 user" dataDxfId="29"/>
    <tableColumn id="4" xr3:uid="{6624A85D-5355-42F2-B524-43AC432974DE}" name="pin run prof time 4 sys" dataDxfId="28"/>
    <tableColumn id="5" xr3:uid="{9661C0EA-13C5-4CA2-99A2-331775342BA5}" name="pin run prof time 4 create tc" dataDxfId="27"/>
    <tableColumn id="6" xr3:uid="{E9F03C59-AD3B-42A0-8EEB-4105782981AC}" name="real - create tc" dataDxfId="26"/>
    <tableColumn id="7" xr3:uid="{E7AC74FD-6B67-40B2-912A-AE79EC7C0CE2}" name="user - create tc" dataDxfId="25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51821A-A68D-4880-83A8-88C6583D5D2B}" name="Table2578" displayName="Table2578" ref="A66:G77" totalsRowShown="0" headerRowDxfId="24" dataDxfId="22" headerRowBorderDxfId="23" tableBorderDxfId="21" totalsRowBorderDxfId="20">
  <autoFilter ref="A66:G77" xr:uid="{4B51821A-A68D-4880-83A8-88C6583D5D2B}"/>
  <tableColumns count="7">
    <tableColumn id="1" xr3:uid="{7F829313-7B3D-4274-8A3E-71540D055733}" name="run #" dataDxfId="19"/>
    <tableColumn id="2" xr3:uid="{19BD7BA5-7B73-421E-A57C-67BC5A5A5647}" name="pin run prof time 5 real" dataDxfId="18"/>
    <tableColumn id="3" xr3:uid="{72AE3FE9-68A8-40E8-AC18-BAD211C928F1}" name="pin run prof time 5 user" dataDxfId="17"/>
    <tableColumn id="4" xr3:uid="{3E0B48A6-BEE6-4EC8-A05E-7213B6ADA150}" name="pin run prof time 5 sys" dataDxfId="16"/>
    <tableColumn id="5" xr3:uid="{AB118CC4-8EC9-4320-BEA0-2F9385D5CE5C}" name="pin run prof time 5 create tc" dataDxfId="15"/>
    <tableColumn id="6" xr3:uid="{57765081-EA3B-439C-8D90-158299CB1859}" name="real - create tc" dataDxfId="14"/>
    <tableColumn id="7" xr3:uid="{2945CB99-92F7-4434-930D-E4B292A9C5A9}" name="user - create tc" dataDxfId="13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1B4CAC-A477-44AD-8EC2-F728801711EE}" name="Table2579" displayName="Table2579" ref="A79:G90" totalsRowShown="0" headerRowDxfId="12" dataDxfId="10" headerRowBorderDxfId="11" tableBorderDxfId="9" totalsRowBorderDxfId="8">
  <autoFilter ref="A79:G90" xr:uid="{141B4CAC-A477-44AD-8EC2-F728801711EE}"/>
  <tableColumns count="7">
    <tableColumn id="1" xr3:uid="{C165D667-859D-4DF1-B611-42BD77C1DE84}" name="run #" dataDxfId="7"/>
    <tableColumn id="2" xr3:uid="{493D73E9-FA98-48ED-9E24-593859552D80}" name="pin run prof time 6 real" dataDxfId="6"/>
    <tableColumn id="3" xr3:uid="{E80D3CEB-C109-4E43-B542-6AC00D53B53B}" name="pin run prof time 6 user" dataDxfId="5"/>
    <tableColumn id="4" xr3:uid="{D9F2B085-EC33-4DEA-9189-99DA26FE4D9A}" name="pin run prof time 6 sys" dataDxfId="4"/>
    <tableColumn id="5" xr3:uid="{C8F2E388-E341-4096-840C-5D8025739DFE}" name="pin run prof time 6 create tc" dataDxfId="3"/>
    <tableColumn id="6" xr3:uid="{1CF63B86-E4C4-49CC-A9DA-0D135A9DCF71}" name="real - create tc" dataDxfId="2"/>
    <tableColumn id="7" xr3:uid="{350D1106-4621-407F-9E2F-DAC4F58BB589}" name="user - create tc" dataDxfId="1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65A440-645C-42BC-A37B-5F3B9F16FC18}" name="Table9" displayName="Table9" ref="F1:H7" totalsRowShown="0">
  <autoFilter ref="F1:H7" xr:uid="{5E65A440-645C-42BC-A37B-5F3B9F16FC18}"/>
  <tableColumns count="3">
    <tableColumn id="1" xr3:uid="{B6BF4812-7A4B-48E6-9AEB-47F74D32B34D}" name="Run type"/>
    <tableColumn id="2" xr3:uid="{9023CA40-BE10-4F88-8E0B-C971607C73C7}" name="Real time Overhead precent" dataDxfId="0">
      <calculatedColumnFormula>(B37-E37-B11)/B11</calculatedColumnFormula>
    </tableColumn>
    <tableColumn id="3" xr3:uid="{C0A59B29-6627-42D9-82C7-E924DB7F8778}" name="User time Overhead prece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topLeftCell="A12" workbookViewId="0">
      <selection activeCell="Q101" sqref="Q101"/>
    </sheetView>
  </sheetViews>
  <sheetFormatPr defaultRowHeight="15" x14ac:dyDescent="0.25"/>
  <cols>
    <col min="1" max="1" width="7.85546875" style="4" customWidth="1"/>
    <col min="2" max="6" width="28.5703125" customWidth="1"/>
    <col min="7" max="7" width="28.5703125" style="4" customWidth="1"/>
    <col min="8" max="11" width="28.5703125" customWidth="1"/>
    <col min="12" max="19" width="9.140625" customWidth="1"/>
  </cols>
  <sheetData>
    <row r="1" spans="1:8" ht="15.75" thickBot="1" x14ac:dyDescent="0.3">
      <c r="A1" s="5" t="s">
        <v>25</v>
      </c>
      <c r="B1" t="s">
        <v>26</v>
      </c>
      <c r="C1" t="s">
        <v>27</v>
      </c>
      <c r="D1" t="s">
        <v>28</v>
      </c>
      <c r="F1" t="s">
        <v>29</v>
      </c>
      <c r="G1" t="s">
        <v>36</v>
      </c>
      <c r="H1" t="s">
        <v>37</v>
      </c>
    </row>
    <row r="2" spans="1:8" ht="15.75" thickTop="1" x14ac:dyDescent="0.25">
      <c r="A2" s="1">
        <v>1</v>
      </c>
      <c r="B2">
        <v>12.06</v>
      </c>
      <c r="C2">
        <v>10.32</v>
      </c>
      <c r="D2">
        <v>1.69</v>
      </c>
      <c r="F2" t="s">
        <v>30</v>
      </c>
      <c r="G2">
        <f>(F25-B12)/B12 * 100</f>
        <v>10.147555848652212</v>
      </c>
      <c r="H2">
        <f>(G25-C12)/C12 * 100</f>
        <v>11.439726695949233</v>
      </c>
    </row>
    <row r="3" spans="1:8" x14ac:dyDescent="0.25">
      <c r="A3" s="2">
        <v>2</v>
      </c>
      <c r="B3">
        <v>12.19</v>
      </c>
      <c r="C3">
        <v>10.199999999999999</v>
      </c>
      <c r="D3">
        <v>1.95</v>
      </c>
      <c r="F3" t="s">
        <v>31</v>
      </c>
      <c r="G3">
        <f>(F38-B12)/B12 * 100</f>
        <v>14.500041216717502</v>
      </c>
      <c r="H3">
        <f>(G38-C12)/C12 * 100</f>
        <v>17.745241581259151</v>
      </c>
    </row>
    <row r="4" spans="1:8" x14ac:dyDescent="0.25">
      <c r="A4" s="1">
        <v>3</v>
      </c>
      <c r="B4">
        <v>12.1</v>
      </c>
      <c r="C4">
        <v>10.46</v>
      </c>
      <c r="D4">
        <v>1.6</v>
      </c>
      <c r="F4" t="s">
        <v>32</v>
      </c>
      <c r="G4">
        <f>(F51-B12)/B12 * 100</f>
        <v>19.413073942791197</v>
      </c>
      <c r="H4">
        <f>(G51-C12)/C12 * 100</f>
        <v>26.969253294289913</v>
      </c>
    </row>
    <row r="5" spans="1:8" x14ac:dyDescent="0.25">
      <c r="A5" s="2">
        <v>4</v>
      </c>
      <c r="B5">
        <v>11.81</v>
      </c>
      <c r="C5">
        <v>9.89</v>
      </c>
      <c r="D5">
        <v>1.89</v>
      </c>
      <c r="F5" t="s">
        <v>33</v>
      </c>
      <c r="G5">
        <f>(F64-B12)/B12 * 100</f>
        <v>22.504327755337552</v>
      </c>
      <c r="H5">
        <f>(G64-C12)/C12 * 100</f>
        <v>24.724255734504649</v>
      </c>
    </row>
    <row r="6" spans="1:8" x14ac:dyDescent="0.25">
      <c r="A6" s="1">
        <v>5</v>
      </c>
      <c r="B6">
        <v>12.38</v>
      </c>
      <c r="C6">
        <v>10.36</v>
      </c>
      <c r="D6">
        <v>1.99</v>
      </c>
      <c r="F6" t="s">
        <v>34</v>
      </c>
      <c r="G6">
        <f>(F77-B12)/B12 * 100</f>
        <v>26.815596405902237</v>
      </c>
      <c r="H6">
        <f>(G77-C12)/C12 * 100</f>
        <v>35.256222547584194</v>
      </c>
    </row>
    <row r="7" spans="1:8" x14ac:dyDescent="0.25">
      <c r="A7" s="2">
        <v>6</v>
      </c>
      <c r="B7">
        <v>11.97</v>
      </c>
      <c r="C7">
        <v>9.89</v>
      </c>
      <c r="D7">
        <v>2.0499999999999998</v>
      </c>
      <c r="F7" t="s">
        <v>35</v>
      </c>
      <c r="G7">
        <f>(F90-B12)/B12 * 100</f>
        <v>30.121177149451832</v>
      </c>
      <c r="H7">
        <f>(G90-C12)/C12 * 100</f>
        <v>30.248901903367504</v>
      </c>
    </row>
    <row r="8" spans="1:8" x14ac:dyDescent="0.25">
      <c r="A8" s="1">
        <v>7</v>
      </c>
      <c r="B8">
        <v>12.38</v>
      </c>
      <c r="C8">
        <v>9.52</v>
      </c>
      <c r="D8">
        <v>2.83</v>
      </c>
    </row>
    <row r="9" spans="1:8" x14ac:dyDescent="0.25">
      <c r="A9" s="2">
        <v>8</v>
      </c>
      <c r="B9">
        <v>12.05</v>
      </c>
      <c r="C9">
        <v>11.21</v>
      </c>
      <c r="D9">
        <v>0.8</v>
      </c>
    </row>
    <row r="10" spans="1:8" x14ac:dyDescent="0.25">
      <c r="A10" s="1">
        <v>9</v>
      </c>
      <c r="B10">
        <v>12.11</v>
      </c>
      <c r="C10">
        <v>10.32</v>
      </c>
      <c r="D10">
        <v>1.76</v>
      </c>
    </row>
    <row r="11" spans="1:8" x14ac:dyDescent="0.25">
      <c r="A11" s="2">
        <v>10</v>
      </c>
      <c r="B11">
        <v>12.26</v>
      </c>
      <c r="C11">
        <v>10.28</v>
      </c>
      <c r="D11">
        <v>1.93</v>
      </c>
    </row>
    <row r="12" spans="1:8" x14ac:dyDescent="0.25">
      <c r="A12" s="3" t="s">
        <v>0</v>
      </c>
      <c r="B12">
        <f>AVERAGE(B2:B11)</f>
        <v>12.131</v>
      </c>
      <c r="C12">
        <f>AVERAGE(C2:C11)</f>
        <v>10.244999999999999</v>
      </c>
      <c r="D12">
        <f>AVERAGE(D2:D11)</f>
        <v>1.8489999999999998</v>
      </c>
    </row>
    <row r="14" spans="1:8" ht="15.75" thickBot="1" x14ac:dyDescent="0.3">
      <c r="A14" s="5" t="s">
        <v>25</v>
      </c>
      <c r="B14" s="10" t="s">
        <v>1</v>
      </c>
      <c r="C14" s="10" t="s">
        <v>2</v>
      </c>
      <c r="D14" s="10" t="s">
        <v>3</v>
      </c>
      <c r="E14" s="19" t="s">
        <v>4</v>
      </c>
      <c r="F14" s="10" t="s">
        <v>38</v>
      </c>
      <c r="G14" s="9" t="s">
        <v>39</v>
      </c>
    </row>
    <row r="15" spans="1:8" ht="15.75" thickTop="1" x14ac:dyDescent="0.25">
      <c r="A15" s="1">
        <v>1</v>
      </c>
      <c r="B15" s="11">
        <v>16.760000000000002</v>
      </c>
      <c r="C15" s="11">
        <v>13.74</v>
      </c>
      <c r="D15" s="11">
        <v>3.35</v>
      </c>
      <c r="E15" s="12">
        <v>3.29</v>
      </c>
      <c r="F15" s="13">
        <f t="shared" ref="F15:F24" si="0">B15-E15</f>
        <v>13.470000000000002</v>
      </c>
      <c r="G15" s="7">
        <f t="shared" ref="G15:G24" si="1">C15-E15</f>
        <v>10.45</v>
      </c>
    </row>
    <row r="16" spans="1:8" x14ac:dyDescent="0.25">
      <c r="A16" s="2">
        <v>2</v>
      </c>
      <c r="B16" s="14">
        <v>17.02</v>
      </c>
      <c r="C16" s="14">
        <v>15.81</v>
      </c>
      <c r="D16" s="14">
        <v>1.6</v>
      </c>
      <c r="E16" s="15">
        <v>3.3</v>
      </c>
      <c r="F16" s="11">
        <f t="shared" si="0"/>
        <v>13.719999999999999</v>
      </c>
      <c r="G16" s="6">
        <f t="shared" si="1"/>
        <v>12.510000000000002</v>
      </c>
    </row>
    <row r="17" spans="1:7" x14ac:dyDescent="0.25">
      <c r="A17" s="1">
        <v>3</v>
      </c>
      <c r="B17" s="11">
        <v>16.34</v>
      </c>
      <c r="C17" s="11">
        <v>14.55</v>
      </c>
      <c r="D17" s="11">
        <v>2.15</v>
      </c>
      <c r="E17" s="12">
        <v>3.18</v>
      </c>
      <c r="F17" s="11">
        <f t="shared" si="0"/>
        <v>13.16</v>
      </c>
      <c r="G17" s="6">
        <f t="shared" si="1"/>
        <v>11.370000000000001</v>
      </c>
    </row>
    <row r="18" spans="1:7" x14ac:dyDescent="0.25">
      <c r="A18" s="2">
        <v>4</v>
      </c>
      <c r="B18" s="14">
        <v>16.45</v>
      </c>
      <c r="C18" s="14">
        <v>14.43</v>
      </c>
      <c r="D18" s="14">
        <v>2.39</v>
      </c>
      <c r="E18" s="15">
        <v>3.29</v>
      </c>
      <c r="F18" s="11">
        <f t="shared" si="0"/>
        <v>13.16</v>
      </c>
      <c r="G18" s="6">
        <f t="shared" si="1"/>
        <v>11.14</v>
      </c>
    </row>
    <row r="19" spans="1:7" x14ac:dyDescent="0.25">
      <c r="A19" s="1">
        <v>5</v>
      </c>
      <c r="B19" s="11">
        <v>16.79</v>
      </c>
      <c r="C19" s="11">
        <v>16.43</v>
      </c>
      <c r="D19" s="11">
        <v>0.72</v>
      </c>
      <c r="E19" s="12">
        <v>3.21</v>
      </c>
      <c r="F19" s="11">
        <f t="shared" si="0"/>
        <v>13.579999999999998</v>
      </c>
      <c r="G19" s="6">
        <f t="shared" si="1"/>
        <v>13.219999999999999</v>
      </c>
    </row>
    <row r="20" spans="1:7" x14ac:dyDescent="0.25">
      <c r="A20" s="2">
        <v>6</v>
      </c>
      <c r="B20" s="14">
        <v>15.95</v>
      </c>
      <c r="C20" s="14">
        <v>14.18</v>
      </c>
      <c r="D20" s="14">
        <v>2.13</v>
      </c>
      <c r="E20" s="15">
        <v>3.14</v>
      </c>
      <c r="F20" s="11">
        <f t="shared" si="0"/>
        <v>12.809999999999999</v>
      </c>
      <c r="G20" s="6">
        <f t="shared" si="1"/>
        <v>11.04</v>
      </c>
    </row>
    <row r="21" spans="1:7" x14ac:dyDescent="0.25">
      <c r="A21" s="1">
        <v>7</v>
      </c>
      <c r="B21" s="11">
        <v>16.59</v>
      </c>
      <c r="C21" s="11">
        <v>13.59</v>
      </c>
      <c r="D21" s="11">
        <v>3.36</v>
      </c>
      <c r="E21" s="12">
        <v>3.15</v>
      </c>
      <c r="F21" s="11">
        <f t="shared" si="0"/>
        <v>13.44</v>
      </c>
      <c r="G21" s="6">
        <f t="shared" si="1"/>
        <v>10.44</v>
      </c>
    </row>
    <row r="22" spans="1:7" x14ac:dyDescent="0.25">
      <c r="A22" s="2">
        <v>8</v>
      </c>
      <c r="B22" s="14">
        <v>16.61</v>
      </c>
      <c r="C22" s="14">
        <v>14.96</v>
      </c>
      <c r="D22" s="14">
        <v>2.0099999999999998</v>
      </c>
      <c r="E22" s="15">
        <v>3.14</v>
      </c>
      <c r="F22" s="11">
        <f t="shared" si="0"/>
        <v>13.469999999999999</v>
      </c>
      <c r="G22" s="6">
        <f t="shared" si="1"/>
        <v>11.82</v>
      </c>
    </row>
    <row r="23" spans="1:7" x14ac:dyDescent="0.25">
      <c r="A23" s="1">
        <v>9</v>
      </c>
      <c r="B23" s="11">
        <v>16.12</v>
      </c>
      <c r="C23" s="11">
        <v>13.22</v>
      </c>
      <c r="D23" s="11">
        <v>3.24</v>
      </c>
      <c r="E23" s="12">
        <v>3.14</v>
      </c>
      <c r="F23" s="11">
        <f t="shared" si="0"/>
        <v>12.98</v>
      </c>
      <c r="G23" s="6">
        <f t="shared" si="1"/>
        <v>10.08</v>
      </c>
    </row>
    <row r="24" spans="1:7" x14ac:dyDescent="0.25">
      <c r="A24" s="2">
        <v>10</v>
      </c>
      <c r="B24" s="14">
        <v>16.989999999999998</v>
      </c>
      <c r="C24" s="14">
        <v>15.26</v>
      </c>
      <c r="D24" s="14">
        <v>2.1</v>
      </c>
      <c r="E24" s="15">
        <v>3.16</v>
      </c>
      <c r="F24" s="11">
        <f t="shared" si="0"/>
        <v>13.829999999999998</v>
      </c>
      <c r="G24" s="6">
        <f t="shared" si="1"/>
        <v>12.1</v>
      </c>
    </row>
    <row r="25" spans="1:7" x14ac:dyDescent="0.25">
      <c r="A25" s="3" t="s">
        <v>0</v>
      </c>
      <c r="B25" s="16">
        <f t="shared" ref="B25:G25" si="2">AVERAGE(B15:B24)</f>
        <v>16.562000000000005</v>
      </c>
      <c r="C25" s="16">
        <f t="shared" si="2"/>
        <v>14.617000000000001</v>
      </c>
      <c r="D25" s="16">
        <f t="shared" si="2"/>
        <v>2.3050000000000006</v>
      </c>
      <c r="E25" s="17">
        <f t="shared" si="2"/>
        <v>3.2</v>
      </c>
      <c r="F25" s="16">
        <f t="shared" si="2"/>
        <v>13.362</v>
      </c>
      <c r="G25" s="8">
        <f t="shared" si="2"/>
        <v>11.416999999999998</v>
      </c>
    </row>
    <row r="26" spans="1:7" x14ac:dyDescent="0.25">
      <c r="B26" s="18"/>
      <c r="C26" s="18"/>
      <c r="D26" s="18"/>
      <c r="E26" s="18"/>
      <c r="F26" s="18"/>
    </row>
    <row r="27" spans="1:7" ht="15.75" thickBot="1" x14ac:dyDescent="0.3">
      <c r="A27" s="5" t="s">
        <v>25</v>
      </c>
      <c r="B27" s="10" t="s">
        <v>5</v>
      </c>
      <c r="C27" s="10" t="s">
        <v>6</v>
      </c>
      <c r="D27" s="10" t="s">
        <v>7</v>
      </c>
      <c r="E27" s="19" t="s">
        <v>8</v>
      </c>
      <c r="F27" s="10" t="s">
        <v>38</v>
      </c>
      <c r="G27" s="9" t="s">
        <v>39</v>
      </c>
    </row>
    <row r="28" spans="1:7" ht="15.75" thickTop="1" x14ac:dyDescent="0.25">
      <c r="A28" s="1">
        <v>1</v>
      </c>
      <c r="B28" s="18">
        <v>16.93</v>
      </c>
      <c r="C28" s="18">
        <v>14.68</v>
      </c>
      <c r="D28" s="18">
        <v>2.6</v>
      </c>
      <c r="E28" s="18">
        <v>3.27</v>
      </c>
      <c r="F28" s="13">
        <f>B28-E28</f>
        <v>13.66</v>
      </c>
      <c r="G28" s="7">
        <f t="shared" ref="G28:G37" si="3">C28-E28</f>
        <v>11.41</v>
      </c>
    </row>
    <row r="29" spans="1:7" x14ac:dyDescent="0.25">
      <c r="A29" s="2">
        <v>2</v>
      </c>
      <c r="B29" s="18">
        <v>17.11</v>
      </c>
      <c r="C29" s="18">
        <v>14.09</v>
      </c>
      <c r="D29" s="18">
        <v>3.39</v>
      </c>
      <c r="E29" s="18">
        <v>3.2</v>
      </c>
      <c r="F29" s="11">
        <f>B29-E29</f>
        <v>13.91</v>
      </c>
      <c r="G29" s="6">
        <f t="shared" si="3"/>
        <v>10.89</v>
      </c>
    </row>
    <row r="30" spans="1:7" x14ac:dyDescent="0.25">
      <c r="A30" s="1">
        <v>3</v>
      </c>
      <c r="B30" s="18">
        <v>16.86</v>
      </c>
      <c r="C30" s="18">
        <v>14.07</v>
      </c>
      <c r="D30" s="18">
        <v>3.16</v>
      </c>
      <c r="E30" s="18">
        <v>3.17</v>
      </c>
      <c r="F30" s="11">
        <f t="shared" ref="F30:F37" si="4">B30-E30</f>
        <v>13.69</v>
      </c>
      <c r="G30" s="6">
        <f t="shared" si="3"/>
        <v>10.9</v>
      </c>
    </row>
    <row r="31" spans="1:7" x14ac:dyDescent="0.25">
      <c r="A31" s="2">
        <v>4</v>
      </c>
      <c r="B31" s="18">
        <v>17.54</v>
      </c>
      <c r="C31" s="18">
        <v>17.190000000000001</v>
      </c>
      <c r="D31" s="18">
        <v>0.7</v>
      </c>
      <c r="E31" s="18">
        <v>3.26</v>
      </c>
      <c r="F31" s="11">
        <f t="shared" si="4"/>
        <v>14.28</v>
      </c>
      <c r="G31" s="6">
        <f t="shared" si="3"/>
        <v>13.930000000000001</v>
      </c>
    </row>
    <row r="32" spans="1:7" x14ac:dyDescent="0.25">
      <c r="A32" s="1">
        <v>5</v>
      </c>
      <c r="B32" s="18">
        <v>16.96</v>
      </c>
      <c r="C32" s="18">
        <v>16.13</v>
      </c>
      <c r="D32" s="18">
        <v>1.17</v>
      </c>
      <c r="E32" s="18">
        <v>3.27</v>
      </c>
      <c r="F32" s="11">
        <f t="shared" si="4"/>
        <v>13.690000000000001</v>
      </c>
      <c r="G32" s="6">
        <f t="shared" si="3"/>
        <v>12.86</v>
      </c>
    </row>
    <row r="33" spans="1:7" x14ac:dyDescent="0.25">
      <c r="A33" s="2">
        <v>6</v>
      </c>
      <c r="B33" s="18">
        <v>17.3</v>
      </c>
      <c r="C33" s="18">
        <v>14.46</v>
      </c>
      <c r="D33" s="18">
        <v>3.22</v>
      </c>
      <c r="E33" s="18">
        <v>3.16</v>
      </c>
      <c r="F33" s="11">
        <f t="shared" si="4"/>
        <v>14.14</v>
      </c>
      <c r="G33" s="6">
        <f t="shared" si="3"/>
        <v>11.3</v>
      </c>
    </row>
    <row r="34" spans="1:7" x14ac:dyDescent="0.25">
      <c r="A34" s="1">
        <v>7</v>
      </c>
      <c r="B34" s="18">
        <v>16.86</v>
      </c>
      <c r="C34" s="18">
        <v>14.78</v>
      </c>
      <c r="D34" s="18">
        <v>2.44</v>
      </c>
      <c r="E34" s="18">
        <v>3.15</v>
      </c>
      <c r="F34" s="11">
        <f t="shared" si="4"/>
        <v>13.709999999999999</v>
      </c>
      <c r="G34" s="6">
        <f t="shared" si="3"/>
        <v>11.629999999999999</v>
      </c>
    </row>
    <row r="35" spans="1:7" x14ac:dyDescent="0.25">
      <c r="A35" s="2">
        <v>8</v>
      </c>
      <c r="B35" s="18">
        <v>17.38</v>
      </c>
      <c r="C35" s="18">
        <v>15.53</v>
      </c>
      <c r="D35" s="18">
        <v>2.21</v>
      </c>
      <c r="E35" s="18">
        <v>3.29</v>
      </c>
      <c r="F35" s="11">
        <f t="shared" si="4"/>
        <v>14.09</v>
      </c>
      <c r="G35" s="6">
        <f t="shared" si="3"/>
        <v>12.239999999999998</v>
      </c>
    </row>
    <row r="36" spans="1:7" x14ac:dyDescent="0.25">
      <c r="A36" s="1">
        <v>9</v>
      </c>
      <c r="B36" s="18">
        <v>17.059999999999999</v>
      </c>
      <c r="C36" s="18">
        <v>15.08</v>
      </c>
      <c r="D36" s="18">
        <v>2.34</v>
      </c>
      <c r="E36" s="18">
        <v>3.19</v>
      </c>
      <c r="F36" s="11">
        <f t="shared" si="4"/>
        <v>13.87</v>
      </c>
      <c r="G36" s="6">
        <f t="shared" si="3"/>
        <v>11.89</v>
      </c>
    </row>
    <row r="37" spans="1:7" x14ac:dyDescent="0.25">
      <c r="A37" s="2">
        <v>10</v>
      </c>
      <c r="B37" s="18">
        <v>17.21</v>
      </c>
      <c r="C37" s="18">
        <v>16.93</v>
      </c>
      <c r="D37" s="18">
        <v>0.65</v>
      </c>
      <c r="E37" s="18">
        <v>3.35</v>
      </c>
      <c r="F37" s="11">
        <f t="shared" si="4"/>
        <v>13.860000000000001</v>
      </c>
      <c r="G37" s="6">
        <f t="shared" si="3"/>
        <v>13.58</v>
      </c>
    </row>
    <row r="38" spans="1:7" x14ac:dyDescent="0.25">
      <c r="A38" s="3" t="s">
        <v>0</v>
      </c>
      <c r="B38" s="16">
        <f t="shared" ref="B38:G38" si="5">AVERAGE(B28:B37)</f>
        <v>17.121000000000002</v>
      </c>
      <c r="C38" s="16">
        <f t="shared" si="5"/>
        <v>15.294000000000002</v>
      </c>
      <c r="D38" s="16">
        <f t="shared" si="5"/>
        <v>2.1879999999999997</v>
      </c>
      <c r="E38" s="17">
        <f t="shared" si="5"/>
        <v>3.2310000000000003</v>
      </c>
      <c r="F38" s="16">
        <f t="shared" si="5"/>
        <v>13.89</v>
      </c>
      <c r="G38" s="8">
        <f t="shared" si="5"/>
        <v>12.062999999999999</v>
      </c>
    </row>
    <row r="39" spans="1:7" x14ac:dyDescent="0.25">
      <c r="B39" s="18"/>
      <c r="C39" s="18"/>
      <c r="D39" s="18"/>
      <c r="E39" s="18"/>
      <c r="F39" s="18"/>
    </row>
    <row r="40" spans="1:7" ht="15.75" thickBot="1" x14ac:dyDescent="0.3">
      <c r="A40" s="5" t="s">
        <v>25</v>
      </c>
      <c r="B40" s="10" t="s">
        <v>9</v>
      </c>
      <c r="C40" s="10" t="s">
        <v>10</v>
      </c>
      <c r="D40" s="10" t="s">
        <v>11</v>
      </c>
      <c r="E40" s="19" t="s">
        <v>12</v>
      </c>
      <c r="F40" s="10" t="s">
        <v>38</v>
      </c>
      <c r="G40" s="9" t="s">
        <v>39</v>
      </c>
    </row>
    <row r="41" spans="1:7" ht="15.75" thickTop="1" x14ac:dyDescent="0.25">
      <c r="A41" s="1">
        <v>1</v>
      </c>
      <c r="B41" s="18">
        <v>17.97</v>
      </c>
      <c r="C41" s="18">
        <v>17.47</v>
      </c>
      <c r="D41" s="18">
        <v>0.87</v>
      </c>
      <c r="E41" s="18">
        <v>3.27</v>
      </c>
      <c r="F41" s="13">
        <f t="shared" ref="F41:F50" si="6">B41-E41</f>
        <v>14.7</v>
      </c>
      <c r="G41" s="7">
        <f t="shared" ref="G41:G50" si="7">C41-E41</f>
        <v>14.2</v>
      </c>
    </row>
    <row r="42" spans="1:7" x14ac:dyDescent="0.25">
      <c r="A42" s="2">
        <v>2</v>
      </c>
      <c r="B42" s="18">
        <v>17.670000000000002</v>
      </c>
      <c r="C42" s="18">
        <v>15.85</v>
      </c>
      <c r="D42" s="18">
        <v>2.16</v>
      </c>
      <c r="E42" s="18">
        <v>3.2</v>
      </c>
      <c r="F42" s="11">
        <f t="shared" si="6"/>
        <v>14.470000000000002</v>
      </c>
      <c r="G42" s="6">
        <f t="shared" si="7"/>
        <v>12.649999999999999</v>
      </c>
    </row>
    <row r="43" spans="1:7" x14ac:dyDescent="0.25">
      <c r="A43" s="1">
        <v>3</v>
      </c>
      <c r="B43" s="18">
        <v>17.61</v>
      </c>
      <c r="C43" s="18">
        <v>12.75</v>
      </c>
      <c r="D43" s="18">
        <v>5.28</v>
      </c>
      <c r="E43" s="18">
        <v>3.14</v>
      </c>
      <c r="F43" s="11">
        <f t="shared" si="6"/>
        <v>14.469999999999999</v>
      </c>
      <c r="G43" s="6">
        <f t="shared" si="7"/>
        <v>9.61</v>
      </c>
    </row>
    <row r="44" spans="1:7" x14ac:dyDescent="0.25">
      <c r="A44" s="2">
        <v>4</v>
      </c>
      <c r="B44" s="18">
        <v>17.559999999999999</v>
      </c>
      <c r="C44" s="18">
        <v>17.2</v>
      </c>
      <c r="D44" s="18">
        <v>0.73</v>
      </c>
      <c r="E44" s="18">
        <v>3.2</v>
      </c>
      <c r="F44" s="11">
        <f t="shared" si="6"/>
        <v>14.36</v>
      </c>
      <c r="G44" s="6">
        <f t="shared" si="7"/>
        <v>14</v>
      </c>
    </row>
    <row r="45" spans="1:7" x14ac:dyDescent="0.25">
      <c r="A45" s="1">
        <v>5</v>
      </c>
      <c r="B45" s="18">
        <v>17.739999999999998</v>
      </c>
      <c r="C45" s="18">
        <v>15.67</v>
      </c>
      <c r="D45" s="18">
        <v>2.44</v>
      </c>
      <c r="E45" s="18">
        <v>3.28</v>
      </c>
      <c r="F45" s="11">
        <f t="shared" si="6"/>
        <v>14.459999999999999</v>
      </c>
      <c r="G45" s="6">
        <f t="shared" si="7"/>
        <v>12.39</v>
      </c>
    </row>
    <row r="46" spans="1:7" x14ac:dyDescent="0.25">
      <c r="A46" s="2">
        <v>6</v>
      </c>
      <c r="B46" s="18">
        <v>17.600000000000001</v>
      </c>
      <c r="C46" s="18">
        <v>13.7</v>
      </c>
      <c r="D46" s="18">
        <v>4.3099999999999996</v>
      </c>
      <c r="E46" s="18">
        <v>3.14</v>
      </c>
      <c r="F46" s="11">
        <f t="shared" si="6"/>
        <v>14.46</v>
      </c>
      <c r="G46" s="6">
        <f t="shared" si="7"/>
        <v>10.559999999999999</v>
      </c>
    </row>
    <row r="47" spans="1:7" x14ac:dyDescent="0.25">
      <c r="A47" s="1">
        <v>7</v>
      </c>
      <c r="B47" s="18">
        <v>17.670000000000002</v>
      </c>
      <c r="C47" s="18">
        <v>17.62</v>
      </c>
      <c r="D47" s="18">
        <v>0.41</v>
      </c>
      <c r="E47" s="18">
        <v>3.13</v>
      </c>
      <c r="F47" s="11">
        <f t="shared" si="6"/>
        <v>14.540000000000003</v>
      </c>
      <c r="G47" s="6">
        <f t="shared" si="7"/>
        <v>14.490000000000002</v>
      </c>
    </row>
    <row r="48" spans="1:7" x14ac:dyDescent="0.25">
      <c r="A48" s="2">
        <v>8</v>
      </c>
      <c r="B48" s="18">
        <v>17.739999999999998</v>
      </c>
      <c r="C48" s="18">
        <v>17.260000000000002</v>
      </c>
      <c r="D48" s="18">
        <v>0.88</v>
      </c>
      <c r="E48" s="18">
        <v>3.2</v>
      </c>
      <c r="F48" s="11">
        <f t="shared" si="6"/>
        <v>14.54</v>
      </c>
      <c r="G48" s="6">
        <f t="shared" si="7"/>
        <v>14.060000000000002</v>
      </c>
    </row>
    <row r="49" spans="1:7" x14ac:dyDescent="0.25">
      <c r="A49" s="1">
        <v>9</v>
      </c>
      <c r="B49" s="18">
        <v>17.59</v>
      </c>
      <c r="C49" s="18">
        <v>17.14</v>
      </c>
      <c r="D49" s="18">
        <v>0.83</v>
      </c>
      <c r="E49" s="18">
        <v>3.19</v>
      </c>
      <c r="F49" s="11">
        <f t="shared" si="6"/>
        <v>14.4</v>
      </c>
      <c r="G49" s="6">
        <f t="shared" si="7"/>
        <v>13.950000000000001</v>
      </c>
    </row>
    <row r="50" spans="1:7" x14ac:dyDescent="0.25">
      <c r="A50" s="2">
        <v>10</v>
      </c>
      <c r="B50" s="18">
        <v>17.79</v>
      </c>
      <c r="C50" s="18">
        <v>17.5</v>
      </c>
      <c r="D50" s="18">
        <v>0.67</v>
      </c>
      <c r="E50" s="18">
        <v>3.33</v>
      </c>
      <c r="F50" s="11">
        <f t="shared" si="6"/>
        <v>14.459999999999999</v>
      </c>
      <c r="G50" s="6">
        <f t="shared" si="7"/>
        <v>14.17</v>
      </c>
    </row>
    <row r="51" spans="1:7" x14ac:dyDescent="0.25">
      <c r="A51" s="3" t="s">
        <v>0</v>
      </c>
      <c r="B51" s="16">
        <f t="shared" ref="B51:G51" si="8">AVERAGE(B41:B50)</f>
        <v>17.693999999999999</v>
      </c>
      <c r="C51" s="16">
        <f t="shared" si="8"/>
        <v>16.216000000000001</v>
      </c>
      <c r="D51" s="16">
        <f t="shared" si="8"/>
        <v>1.8579999999999999</v>
      </c>
      <c r="E51" s="17">
        <f t="shared" si="8"/>
        <v>3.2080000000000006</v>
      </c>
      <c r="F51" s="16">
        <f t="shared" si="8"/>
        <v>14.486000000000001</v>
      </c>
      <c r="G51" s="8">
        <f t="shared" si="8"/>
        <v>13.008000000000001</v>
      </c>
    </row>
    <row r="52" spans="1:7" x14ac:dyDescent="0.25">
      <c r="B52" s="18"/>
      <c r="C52" s="18"/>
      <c r="D52" s="18"/>
      <c r="E52" s="18"/>
      <c r="F52" s="18"/>
    </row>
    <row r="53" spans="1:7" ht="15.75" thickBot="1" x14ac:dyDescent="0.3">
      <c r="A53" s="5" t="s">
        <v>25</v>
      </c>
      <c r="B53" s="10" t="s">
        <v>13</v>
      </c>
      <c r="C53" s="10" t="s">
        <v>14</v>
      </c>
      <c r="D53" s="10" t="s">
        <v>15</v>
      </c>
      <c r="E53" s="19" t="s">
        <v>16</v>
      </c>
      <c r="F53" s="10" t="s">
        <v>38</v>
      </c>
      <c r="G53" s="9" t="s">
        <v>39</v>
      </c>
    </row>
    <row r="54" spans="1:7" ht="15.75" thickTop="1" x14ac:dyDescent="0.25">
      <c r="A54" s="1">
        <v>1</v>
      </c>
      <c r="B54" s="18">
        <v>18.079999999999998</v>
      </c>
      <c r="C54" s="18">
        <v>17.22</v>
      </c>
      <c r="D54" s="18">
        <v>1.23</v>
      </c>
      <c r="E54" s="18">
        <v>3.21</v>
      </c>
      <c r="F54" s="13">
        <f>B54-E54</f>
        <v>14.869999999999997</v>
      </c>
      <c r="G54" s="7">
        <f t="shared" ref="G54:G63" si="9">C54-E54</f>
        <v>14.009999999999998</v>
      </c>
    </row>
    <row r="55" spans="1:7" x14ac:dyDescent="0.25">
      <c r="A55" s="2">
        <v>2</v>
      </c>
      <c r="B55" s="18">
        <v>17.96</v>
      </c>
      <c r="C55" s="18">
        <v>16.22</v>
      </c>
      <c r="D55" s="18">
        <v>2.1</v>
      </c>
      <c r="E55" s="18">
        <v>3.18</v>
      </c>
      <c r="F55" s="11">
        <f>B55-E55</f>
        <v>14.780000000000001</v>
      </c>
      <c r="G55" s="6">
        <f t="shared" si="9"/>
        <v>13.04</v>
      </c>
    </row>
    <row r="56" spans="1:7" x14ac:dyDescent="0.25">
      <c r="A56" s="1">
        <v>3</v>
      </c>
      <c r="B56" s="18">
        <v>18.399999999999999</v>
      </c>
      <c r="C56" s="18">
        <v>17.57</v>
      </c>
      <c r="D56" s="18">
        <v>1.19</v>
      </c>
      <c r="E56" s="18">
        <v>3.16</v>
      </c>
      <c r="F56" s="11">
        <f t="shared" ref="F56:F63" si="10">B56-E56</f>
        <v>15.239999999999998</v>
      </c>
      <c r="G56" s="6">
        <f t="shared" si="9"/>
        <v>14.41</v>
      </c>
    </row>
    <row r="57" spans="1:7" x14ac:dyDescent="0.25">
      <c r="A57" s="2">
        <v>4</v>
      </c>
      <c r="B57" s="18">
        <v>17.97</v>
      </c>
      <c r="C57" s="18">
        <v>15.16</v>
      </c>
      <c r="D57" s="18">
        <v>3.18</v>
      </c>
      <c r="E57" s="18">
        <v>3.17</v>
      </c>
      <c r="F57" s="11">
        <f t="shared" si="10"/>
        <v>14.799999999999999</v>
      </c>
      <c r="G57" s="6">
        <f t="shared" si="9"/>
        <v>11.99</v>
      </c>
    </row>
    <row r="58" spans="1:7" x14ac:dyDescent="0.25">
      <c r="A58" s="1">
        <v>5</v>
      </c>
      <c r="B58" s="18">
        <v>17.84</v>
      </c>
      <c r="C58" s="18">
        <v>15.59</v>
      </c>
      <c r="D58" s="18">
        <v>2.62</v>
      </c>
      <c r="E58" s="18">
        <v>3.31</v>
      </c>
      <c r="F58" s="11">
        <f t="shared" si="10"/>
        <v>14.53</v>
      </c>
      <c r="G58" s="6">
        <f t="shared" si="9"/>
        <v>12.28</v>
      </c>
    </row>
    <row r="59" spans="1:7" x14ac:dyDescent="0.25">
      <c r="A59" s="2">
        <v>6</v>
      </c>
      <c r="B59" s="18">
        <v>18.39</v>
      </c>
      <c r="C59" s="18">
        <v>13.3</v>
      </c>
      <c r="D59" s="18">
        <v>5.04</v>
      </c>
      <c r="E59" s="18">
        <v>3.16</v>
      </c>
      <c r="F59" s="11">
        <f t="shared" si="10"/>
        <v>15.23</v>
      </c>
      <c r="G59" s="6">
        <f t="shared" si="9"/>
        <v>10.14</v>
      </c>
    </row>
    <row r="60" spans="1:7" x14ac:dyDescent="0.25">
      <c r="A60" s="1">
        <v>7</v>
      </c>
      <c r="B60" s="18">
        <v>17.66</v>
      </c>
      <c r="C60" s="18">
        <v>15.68</v>
      </c>
      <c r="D60" s="18">
        <v>2.34</v>
      </c>
      <c r="E60" s="18">
        <v>3.17</v>
      </c>
      <c r="F60" s="11">
        <f t="shared" si="10"/>
        <v>14.49</v>
      </c>
      <c r="G60" s="6">
        <f t="shared" si="9"/>
        <v>12.51</v>
      </c>
    </row>
    <row r="61" spans="1:7" x14ac:dyDescent="0.25">
      <c r="A61" s="2">
        <v>8</v>
      </c>
      <c r="B61" s="18">
        <v>18.100000000000001</v>
      </c>
      <c r="C61" s="18">
        <v>16.39</v>
      </c>
      <c r="D61" s="18">
        <v>2.0699999999999998</v>
      </c>
      <c r="E61" s="18">
        <v>3.16</v>
      </c>
      <c r="F61" s="11">
        <f t="shared" si="10"/>
        <v>14.940000000000001</v>
      </c>
      <c r="G61" s="6">
        <f t="shared" si="9"/>
        <v>13.23</v>
      </c>
    </row>
    <row r="62" spans="1:7" x14ac:dyDescent="0.25">
      <c r="A62" s="1">
        <v>9</v>
      </c>
      <c r="B62" s="18">
        <v>18.010000000000002</v>
      </c>
      <c r="C62" s="18">
        <v>16.3</v>
      </c>
      <c r="D62" s="18">
        <v>2.06</v>
      </c>
      <c r="E62" s="18">
        <v>3.2</v>
      </c>
      <c r="F62" s="11">
        <f t="shared" si="10"/>
        <v>14.810000000000002</v>
      </c>
      <c r="G62" s="6">
        <f t="shared" si="9"/>
        <v>13.100000000000001</v>
      </c>
    </row>
    <row r="63" spans="1:7" x14ac:dyDescent="0.25">
      <c r="A63" s="2">
        <v>10</v>
      </c>
      <c r="B63" s="18">
        <v>18.22</v>
      </c>
      <c r="C63" s="18">
        <v>16.37</v>
      </c>
      <c r="D63" s="18">
        <v>2.21</v>
      </c>
      <c r="E63" s="18">
        <v>3.3</v>
      </c>
      <c r="F63" s="11">
        <f t="shared" si="10"/>
        <v>14.919999999999998</v>
      </c>
      <c r="G63" s="6">
        <f t="shared" si="9"/>
        <v>13.07</v>
      </c>
    </row>
    <row r="64" spans="1:7" x14ac:dyDescent="0.25">
      <c r="A64" s="3" t="s">
        <v>0</v>
      </c>
      <c r="B64" s="16">
        <f t="shared" ref="B64:G64" si="11">AVERAGE(B54:B63)</f>
        <v>18.062999999999999</v>
      </c>
      <c r="C64" s="16">
        <f t="shared" si="11"/>
        <v>15.98</v>
      </c>
      <c r="D64" s="16">
        <f t="shared" si="11"/>
        <v>2.4039999999999999</v>
      </c>
      <c r="E64" s="17">
        <f t="shared" si="11"/>
        <v>3.2019999999999995</v>
      </c>
      <c r="F64" s="16">
        <f t="shared" si="11"/>
        <v>14.860999999999999</v>
      </c>
      <c r="G64" s="8">
        <f t="shared" si="11"/>
        <v>12.778</v>
      </c>
    </row>
    <row r="65" spans="1:7" x14ac:dyDescent="0.25">
      <c r="B65" s="18"/>
      <c r="C65" s="18"/>
      <c r="D65" s="18"/>
      <c r="E65" s="18"/>
      <c r="F65" s="18"/>
    </row>
    <row r="66" spans="1:7" ht="15.75" thickBot="1" x14ac:dyDescent="0.3">
      <c r="A66" s="5" t="s">
        <v>25</v>
      </c>
      <c r="B66" s="10" t="s">
        <v>17</v>
      </c>
      <c r="C66" s="10" t="s">
        <v>18</v>
      </c>
      <c r="D66" s="10" t="s">
        <v>19</v>
      </c>
      <c r="E66" s="19" t="s">
        <v>20</v>
      </c>
      <c r="F66" s="10" t="s">
        <v>38</v>
      </c>
      <c r="G66" s="9" t="s">
        <v>39</v>
      </c>
    </row>
    <row r="67" spans="1:7" ht="15.75" thickTop="1" x14ac:dyDescent="0.25">
      <c r="A67" s="1">
        <v>1</v>
      </c>
      <c r="B67" s="18">
        <v>18.399999999999999</v>
      </c>
      <c r="C67" s="18">
        <v>16.32</v>
      </c>
      <c r="D67" s="18">
        <v>2.44</v>
      </c>
      <c r="E67" s="18">
        <v>3.2</v>
      </c>
      <c r="F67" s="13">
        <f t="shared" ref="F67:F76" si="12">B67-E67</f>
        <v>15.2</v>
      </c>
      <c r="G67" s="7">
        <f t="shared" ref="G67:G76" si="13">C67-E67</f>
        <v>13.120000000000001</v>
      </c>
    </row>
    <row r="68" spans="1:7" x14ac:dyDescent="0.25">
      <c r="A68" s="2">
        <v>2</v>
      </c>
      <c r="B68" s="18">
        <v>18.73</v>
      </c>
      <c r="C68" s="18">
        <v>16.57</v>
      </c>
      <c r="D68" s="18">
        <v>2.52</v>
      </c>
      <c r="E68" s="18">
        <v>3.17</v>
      </c>
      <c r="F68" s="11">
        <f t="shared" si="12"/>
        <v>15.56</v>
      </c>
      <c r="G68" s="6">
        <f t="shared" si="13"/>
        <v>13.4</v>
      </c>
    </row>
    <row r="69" spans="1:7" x14ac:dyDescent="0.25">
      <c r="A69" s="1">
        <v>3</v>
      </c>
      <c r="B69" s="18">
        <v>19.010000000000002</v>
      </c>
      <c r="C69" s="18">
        <v>15.9</v>
      </c>
      <c r="D69" s="18">
        <v>3.06</v>
      </c>
      <c r="E69" s="18">
        <v>3.15</v>
      </c>
      <c r="F69" s="11">
        <f t="shared" si="12"/>
        <v>15.860000000000001</v>
      </c>
      <c r="G69" s="6">
        <f t="shared" si="13"/>
        <v>12.75</v>
      </c>
    </row>
    <row r="70" spans="1:7" x14ac:dyDescent="0.25">
      <c r="A70" s="2">
        <v>4</v>
      </c>
      <c r="B70" s="18">
        <v>18.73</v>
      </c>
      <c r="C70" s="18">
        <v>17.23</v>
      </c>
      <c r="D70" s="18">
        <v>1.86</v>
      </c>
      <c r="E70" s="18">
        <v>3.16</v>
      </c>
      <c r="F70" s="11">
        <f t="shared" si="12"/>
        <v>15.57</v>
      </c>
      <c r="G70" s="6">
        <f t="shared" si="13"/>
        <v>14.07</v>
      </c>
    </row>
    <row r="71" spans="1:7" x14ac:dyDescent="0.25">
      <c r="A71" s="1">
        <v>5</v>
      </c>
      <c r="B71" s="18">
        <v>18.670000000000002</v>
      </c>
      <c r="C71" s="18">
        <v>16.45</v>
      </c>
      <c r="D71" s="18">
        <v>2.62</v>
      </c>
      <c r="E71" s="18">
        <v>3.14</v>
      </c>
      <c r="F71" s="11">
        <f t="shared" si="12"/>
        <v>15.530000000000001</v>
      </c>
      <c r="G71" s="6">
        <f t="shared" si="13"/>
        <v>13.309999999999999</v>
      </c>
    </row>
    <row r="72" spans="1:7" x14ac:dyDescent="0.25">
      <c r="A72" s="2">
        <v>6</v>
      </c>
      <c r="B72" s="18">
        <v>18.600000000000001</v>
      </c>
      <c r="C72" s="18">
        <v>18.29</v>
      </c>
      <c r="D72" s="18">
        <v>0.68</v>
      </c>
      <c r="E72" s="18">
        <v>3.13</v>
      </c>
      <c r="F72" s="11">
        <f t="shared" si="12"/>
        <v>15.470000000000002</v>
      </c>
      <c r="G72" s="6">
        <f t="shared" si="13"/>
        <v>15.16</v>
      </c>
    </row>
    <row r="73" spans="1:7" x14ac:dyDescent="0.25">
      <c r="A73" s="1">
        <v>7</v>
      </c>
      <c r="B73" s="18">
        <v>18.100000000000001</v>
      </c>
      <c r="C73" s="18">
        <v>17.3</v>
      </c>
      <c r="D73" s="18">
        <v>1.1599999999999999</v>
      </c>
      <c r="E73" s="18">
        <v>3.18</v>
      </c>
      <c r="F73" s="11">
        <f t="shared" si="12"/>
        <v>14.920000000000002</v>
      </c>
      <c r="G73" s="6">
        <f t="shared" si="13"/>
        <v>14.120000000000001</v>
      </c>
    </row>
    <row r="74" spans="1:7" x14ac:dyDescent="0.25">
      <c r="A74" s="2">
        <v>8</v>
      </c>
      <c r="B74" s="18">
        <v>18.61</v>
      </c>
      <c r="C74" s="18">
        <v>16.75</v>
      </c>
      <c r="D74" s="18">
        <v>1.81</v>
      </c>
      <c r="E74" s="18">
        <v>3.14</v>
      </c>
      <c r="F74" s="11">
        <f t="shared" si="12"/>
        <v>15.469999999999999</v>
      </c>
      <c r="G74" s="6">
        <f t="shared" si="13"/>
        <v>13.61</v>
      </c>
    </row>
    <row r="75" spans="1:7" x14ac:dyDescent="0.25">
      <c r="A75" s="1">
        <v>9</v>
      </c>
      <c r="B75" s="18">
        <v>18.37</v>
      </c>
      <c r="C75" s="18">
        <v>17.54</v>
      </c>
      <c r="D75" s="18">
        <v>1.18</v>
      </c>
      <c r="E75" s="18">
        <v>3.14</v>
      </c>
      <c r="F75" s="11">
        <f t="shared" si="12"/>
        <v>15.23</v>
      </c>
      <c r="G75" s="6">
        <f t="shared" si="13"/>
        <v>14.399999999999999</v>
      </c>
    </row>
    <row r="76" spans="1:7" x14ac:dyDescent="0.25">
      <c r="A76" s="2">
        <v>10</v>
      </c>
      <c r="B76" s="18">
        <v>18.21</v>
      </c>
      <c r="C76" s="18">
        <v>17.809999999999999</v>
      </c>
      <c r="D76" s="18">
        <v>0.75</v>
      </c>
      <c r="E76" s="18">
        <v>3.18</v>
      </c>
      <c r="F76" s="11">
        <f t="shared" si="12"/>
        <v>15.030000000000001</v>
      </c>
      <c r="G76" s="6">
        <f t="shared" si="13"/>
        <v>14.629999999999999</v>
      </c>
    </row>
    <row r="77" spans="1:7" x14ac:dyDescent="0.25">
      <c r="A77" s="3" t="s">
        <v>0</v>
      </c>
      <c r="B77" s="16">
        <f t="shared" ref="B77:G77" si="14">AVERAGE(B67:B76)</f>
        <v>18.543000000000003</v>
      </c>
      <c r="C77" s="16">
        <f t="shared" si="14"/>
        <v>17.015999999999998</v>
      </c>
      <c r="D77" s="16">
        <f t="shared" si="14"/>
        <v>1.8079999999999998</v>
      </c>
      <c r="E77" s="17">
        <f t="shared" si="14"/>
        <v>3.1589999999999998</v>
      </c>
      <c r="F77" s="16">
        <f t="shared" si="14"/>
        <v>15.384</v>
      </c>
      <c r="G77" s="8">
        <f t="shared" si="14"/>
        <v>13.856999999999999</v>
      </c>
    </row>
    <row r="78" spans="1:7" x14ac:dyDescent="0.25">
      <c r="B78" s="18"/>
      <c r="C78" s="18"/>
      <c r="D78" s="18"/>
      <c r="E78" s="18"/>
      <c r="F78" s="18"/>
    </row>
    <row r="79" spans="1:7" ht="15.75" thickBot="1" x14ac:dyDescent="0.3">
      <c r="A79" s="5" t="s">
        <v>25</v>
      </c>
      <c r="B79" s="10" t="s">
        <v>21</v>
      </c>
      <c r="C79" s="10" t="s">
        <v>22</v>
      </c>
      <c r="D79" s="10" t="s">
        <v>23</v>
      </c>
      <c r="E79" s="19" t="s">
        <v>24</v>
      </c>
      <c r="F79" s="10" t="s">
        <v>38</v>
      </c>
      <c r="G79" s="9" t="s">
        <v>39</v>
      </c>
    </row>
    <row r="80" spans="1:7" ht="15.75" thickTop="1" x14ac:dyDescent="0.25">
      <c r="A80" s="1">
        <v>1</v>
      </c>
      <c r="B80" s="18">
        <v>19.010000000000002</v>
      </c>
      <c r="C80" s="18">
        <v>16.16</v>
      </c>
      <c r="D80" s="18">
        <v>3.22</v>
      </c>
      <c r="E80" s="18">
        <v>3.28</v>
      </c>
      <c r="F80" s="13">
        <f>B80-E80</f>
        <v>15.730000000000002</v>
      </c>
      <c r="G80" s="7">
        <f t="shared" ref="G80:G89" si="15">C80-E80</f>
        <v>12.88</v>
      </c>
    </row>
    <row r="81" spans="1:7" x14ac:dyDescent="0.25">
      <c r="A81" s="2">
        <v>2</v>
      </c>
      <c r="B81" s="18">
        <v>19.12</v>
      </c>
      <c r="C81" s="18">
        <v>17.11</v>
      </c>
      <c r="D81" s="18">
        <v>2.4</v>
      </c>
      <c r="E81" s="18">
        <v>3.15</v>
      </c>
      <c r="F81" s="11">
        <f>B81-E81</f>
        <v>15.97</v>
      </c>
      <c r="G81" s="6">
        <f t="shared" si="15"/>
        <v>13.959999999999999</v>
      </c>
    </row>
    <row r="82" spans="1:7" x14ac:dyDescent="0.25">
      <c r="A82" s="1">
        <v>3</v>
      </c>
      <c r="B82" s="18">
        <v>19.16</v>
      </c>
      <c r="C82" s="18">
        <v>15.1</v>
      </c>
      <c r="D82" s="18">
        <v>4.01</v>
      </c>
      <c r="E82" s="18">
        <v>3.16</v>
      </c>
      <c r="F82" s="11">
        <f t="shared" ref="F82:F89" si="16">B82-E82</f>
        <v>16</v>
      </c>
      <c r="G82" s="6">
        <f t="shared" si="15"/>
        <v>11.94</v>
      </c>
    </row>
    <row r="83" spans="1:7" x14ac:dyDescent="0.25">
      <c r="A83" s="2">
        <v>4</v>
      </c>
      <c r="B83" s="18">
        <v>18.75</v>
      </c>
      <c r="C83" s="18">
        <v>16.239999999999998</v>
      </c>
      <c r="D83" s="18">
        <v>2.88</v>
      </c>
      <c r="E83" s="18">
        <v>3.31</v>
      </c>
      <c r="F83" s="11">
        <f t="shared" si="16"/>
        <v>15.44</v>
      </c>
      <c r="G83" s="6">
        <f t="shared" si="15"/>
        <v>12.929999999999998</v>
      </c>
    </row>
    <row r="84" spans="1:7" x14ac:dyDescent="0.25">
      <c r="A84" s="1">
        <v>5</v>
      </c>
      <c r="B84" s="18">
        <v>19.32</v>
      </c>
      <c r="C84" s="18">
        <v>18.96</v>
      </c>
      <c r="D84" s="18">
        <v>0.68</v>
      </c>
      <c r="E84" s="18">
        <v>3.23</v>
      </c>
      <c r="F84" s="11">
        <f t="shared" si="16"/>
        <v>16.09</v>
      </c>
      <c r="G84" s="6">
        <f t="shared" si="15"/>
        <v>15.73</v>
      </c>
    </row>
    <row r="85" spans="1:7" x14ac:dyDescent="0.25">
      <c r="A85" s="2">
        <v>6</v>
      </c>
      <c r="B85" s="18">
        <v>18.670000000000002</v>
      </c>
      <c r="C85" s="18">
        <v>15.29</v>
      </c>
      <c r="D85" s="18">
        <v>3.74</v>
      </c>
      <c r="E85" s="18">
        <v>3.16</v>
      </c>
      <c r="F85" s="11">
        <f t="shared" si="16"/>
        <v>15.510000000000002</v>
      </c>
      <c r="G85" s="6">
        <f t="shared" si="15"/>
        <v>12.129999999999999</v>
      </c>
    </row>
    <row r="86" spans="1:7" x14ac:dyDescent="0.25">
      <c r="A86" s="1">
        <v>7</v>
      </c>
      <c r="B86" s="18">
        <v>18.96</v>
      </c>
      <c r="C86" s="18">
        <v>16.309999999999999</v>
      </c>
      <c r="D86" s="18">
        <v>3.02</v>
      </c>
      <c r="E86" s="18">
        <v>3.17</v>
      </c>
      <c r="F86" s="11">
        <f t="shared" si="16"/>
        <v>15.790000000000001</v>
      </c>
      <c r="G86" s="6">
        <f t="shared" si="15"/>
        <v>13.139999999999999</v>
      </c>
    </row>
    <row r="87" spans="1:7" x14ac:dyDescent="0.25">
      <c r="A87" s="2">
        <v>8</v>
      </c>
      <c r="B87" s="18">
        <v>19.18</v>
      </c>
      <c r="C87" s="18">
        <v>16.38</v>
      </c>
      <c r="D87" s="18">
        <v>3.18</v>
      </c>
      <c r="E87" s="18">
        <v>3.19</v>
      </c>
      <c r="F87" s="11">
        <f t="shared" si="16"/>
        <v>15.99</v>
      </c>
      <c r="G87" s="6">
        <f t="shared" si="15"/>
        <v>13.19</v>
      </c>
    </row>
    <row r="88" spans="1:7" x14ac:dyDescent="0.25">
      <c r="A88" s="1">
        <v>9</v>
      </c>
      <c r="B88" s="18">
        <v>18.850000000000001</v>
      </c>
      <c r="C88" s="18">
        <v>17.239999999999998</v>
      </c>
      <c r="D88" s="18">
        <v>1.98</v>
      </c>
      <c r="E88" s="18">
        <v>3.23</v>
      </c>
      <c r="F88" s="11">
        <f t="shared" si="16"/>
        <v>15.620000000000001</v>
      </c>
      <c r="G88" s="6">
        <f t="shared" si="15"/>
        <v>14.009999999999998</v>
      </c>
    </row>
    <row r="89" spans="1:7" x14ac:dyDescent="0.25">
      <c r="A89" s="2">
        <v>10</v>
      </c>
      <c r="B89" s="18">
        <v>18.89</v>
      </c>
      <c r="C89" s="18">
        <v>16.71</v>
      </c>
      <c r="D89" s="18">
        <v>2.5499999999999998</v>
      </c>
      <c r="E89" s="18">
        <v>3.18</v>
      </c>
      <c r="F89" s="11">
        <f t="shared" si="16"/>
        <v>15.71</v>
      </c>
      <c r="G89" s="6">
        <f t="shared" si="15"/>
        <v>13.530000000000001</v>
      </c>
    </row>
    <row r="90" spans="1:7" x14ac:dyDescent="0.25">
      <c r="A90" s="3" t="s">
        <v>0</v>
      </c>
      <c r="B90" s="16">
        <f t="shared" ref="B90:G90" si="17">AVERAGE(B80:B89)</f>
        <v>18.991000000000003</v>
      </c>
      <c r="C90" s="16">
        <f t="shared" si="17"/>
        <v>16.55</v>
      </c>
      <c r="D90" s="16">
        <f t="shared" si="17"/>
        <v>2.766</v>
      </c>
      <c r="E90" s="17">
        <f t="shared" si="17"/>
        <v>3.2060000000000004</v>
      </c>
      <c r="F90" s="16">
        <f t="shared" si="17"/>
        <v>15.785000000000002</v>
      </c>
      <c r="G90" s="8">
        <f t="shared" si="17"/>
        <v>13.343999999999999</v>
      </c>
    </row>
  </sheetData>
  <phoneticPr fontId="2" type="noConversion"/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Lebedinsky</cp:lastModifiedBy>
  <dcterms:created xsi:type="dcterms:W3CDTF">2015-06-05T18:17:20Z</dcterms:created>
  <dcterms:modified xsi:type="dcterms:W3CDTF">2025-09-27T13:56:18Z</dcterms:modified>
</cp:coreProperties>
</file>